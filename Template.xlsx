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GET_PAY_DECIMAL">LAMBDA(startshift, endshift, JS_GET_PAY_DECIMAL(startshift, endshift))</definedName>
    <definedName name="VALID_BREAK_CHECK">LAMBDA(startshift, endshift, startbreak, endbreak, JS_VALID_BREAK_CHECK(startshift, endshift, startbreak, endbreak))</definedName>
    <definedName name="GET_BREAK_DURATION">LAMBDA(startshift, endshift, JS_GET_BREAK_DURATION(startshift, endshift))</definedName>
    <definedName name="GET_REGULAR_PAY">LAMBDA(rangehours, JS_GET_REGULAR_PAY(rangehours))</definedName>
    <definedName name="GET_WEEKLY_HOURS">LAMBDA(rangehours, JS_GET_WEEKLY_HOURS(rangehours))</definedName>
    <definedName name="GET_MY_TIME">LAMBDA(datetime, JS_GET_MY_TIME(datetime))</definedName>
    <definedName name="GET_BREAK_DECIMAL">LAMBDA(startshift, endshift, JS_GET_BREAK_DECIMAL(startshift, endshift))</definedName>
  </definedNames>
  <calcPr/>
</workbook>
</file>

<file path=xl/sharedStrings.xml><?xml version="1.0" encoding="utf-8"?>
<sst xmlns="http://schemas.openxmlformats.org/spreadsheetml/2006/main" count="21" uniqueCount="17">
  <si>
    <t>Schedule</t>
  </si>
  <si>
    <t>Timesheet</t>
  </si>
  <si>
    <t>Calendar Sync</t>
  </si>
  <si>
    <t>Notes</t>
  </si>
  <si>
    <t>Date</t>
  </si>
  <si>
    <t>Start Shift</t>
  </si>
  <si>
    <t>End Shift</t>
  </si>
  <si>
    <t>Start Break</t>
  </si>
  <si>
    <t>End Break</t>
  </si>
  <si>
    <t>Break Duration</t>
  </si>
  <si>
    <t>Valid Break</t>
  </si>
  <si>
    <t>Hours Decimal</t>
  </si>
  <si>
    <t>Meal Duration</t>
  </si>
  <si>
    <t>Weekly Hours</t>
  </si>
  <si>
    <t>Regular Pay</t>
  </si>
  <si>
    <t>Net Pay</t>
  </si>
  <si>
    <t>Thursday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</si>
</sst>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 &quot;d"/>
    <numFmt numFmtId="165" formatCode="M/d/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vertical="bottom"/>
    </xf>
    <xf borderId="0" fillId="3" fontId="2" numFmtId="0" xfId="0" applyAlignment="1" applyFont="1">
      <alignment horizontal="left"/>
    </xf>
    <xf borderId="0" fillId="3" fontId="3" numFmtId="164" xfId="0" applyAlignment="1" applyFont="1" applyNumberFormat="1">
      <alignment horizontal="left" readingOrder="0" vertical="bottom"/>
    </xf>
    <xf borderId="0" fillId="3" fontId="3" numFmtId="49" xfId="0" applyAlignment="1" applyFont="1" applyNumberFormat="1">
      <alignment horizontal="left" readingOrder="0" vertical="bottom"/>
    </xf>
    <xf borderId="0" fillId="3" fontId="3" numFmtId="49" xfId="0" applyAlignment="1" applyFont="1" applyNumberFormat="1">
      <alignment horizontal="left" vertical="bottom"/>
    </xf>
    <xf borderId="0" fillId="3" fontId="2" numFmtId="49" xfId="0" applyAlignment="1" applyFont="1" applyNumberFormat="1">
      <alignment horizontal="left" readingOrder="0"/>
    </xf>
    <xf borderId="0" fillId="3" fontId="2" numFmtId="0" xfId="0" applyAlignment="1" applyFont="1">
      <alignment horizontal="left" readingOrder="0"/>
    </xf>
    <xf borderId="0" fillId="0" fontId="2" numFmtId="4" xfId="0" applyAlignment="1" applyFont="1" applyNumberFormat="1">
      <alignment horizontal="left" readingOrder="0"/>
    </xf>
    <xf borderId="0" fillId="3" fontId="2" numFmtId="4" xfId="0" applyAlignment="1" applyFont="1" applyNumberFormat="1">
      <alignment horizontal="left"/>
    </xf>
    <xf borderId="0" fillId="0" fontId="2" numFmtId="4" xfId="0" applyAlignment="1" applyFont="1" applyNumberFormat="1">
      <alignment horizontal="left"/>
    </xf>
    <xf borderId="0" fillId="3" fontId="3" numFmtId="165" xfId="0" applyAlignment="1" applyFont="1" applyNumberFormat="1">
      <alignment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K2:O3" displayName="Table_1" name="Table_1" id="1">
  <tableColumns count="5">
    <tableColumn name="Hours Decimal" id="1"/>
    <tableColumn name="Meal Duration" id="2"/>
    <tableColumn name="Weekly Hours" id="3"/>
    <tableColumn name="Regular Pay" id="4"/>
    <tableColumn name="Net Pay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Q2:T3" displayName="Table_2" name="Table_2" id="2">
  <tableColumns count="4">
    <tableColumn name="Start Shift" id="1"/>
    <tableColumn name="End Shift" id="2"/>
    <tableColumn name="Start Break" id="3"/>
    <tableColumn name="End Break" id="4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9" width="12.63"/>
    <col customWidth="1" min="10" max="10" width="14.0"/>
    <col customWidth="1" min="11" max="15" width="12.63"/>
    <col customWidth="1" min="17" max="20" width="20.13"/>
  </cols>
  <sheetData>
    <row r="1">
      <c r="A1" s="1" t="s">
        <v>0</v>
      </c>
      <c r="J1" s="2"/>
      <c r="K1" s="1" t="s">
        <v>1</v>
      </c>
      <c r="P1" s="3"/>
      <c r="Q1" s="1" t="s">
        <v>2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4" t="s">
        <v>3</v>
      </c>
      <c r="B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2"/>
      <c r="K2" s="5" t="s">
        <v>11</v>
      </c>
      <c r="L2" s="6" t="s">
        <v>12</v>
      </c>
      <c r="M2" s="7" t="s">
        <v>13</v>
      </c>
      <c r="N2" s="8" t="s">
        <v>14</v>
      </c>
      <c r="O2" s="8" t="s">
        <v>15</v>
      </c>
      <c r="P2" s="3"/>
      <c r="Q2" s="5" t="s">
        <v>5</v>
      </c>
      <c r="R2" s="5" t="s">
        <v>6</v>
      </c>
      <c r="S2" s="5" t="s">
        <v>7</v>
      </c>
      <c r="T2" s="5" t="s">
        <v>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9"/>
      <c r="B3" s="10">
        <v>46023.0</v>
      </c>
      <c r="C3" s="11" t="s">
        <v>16</v>
      </c>
      <c r="D3" s="12" t="str">
        <f t="shared" ref="D3:G3" si="1">GET_MY_TIME(Q3)</f>
        <v>9:00 AM</v>
      </c>
      <c r="E3" s="12" t="str">
        <f t="shared" si="1"/>
        <v>5:00 PM</v>
      </c>
      <c r="F3" s="12" t="str">
        <f t="shared" si="1"/>
        <v>11:30 AM</v>
      </c>
      <c r="G3" s="12" t="str">
        <f t="shared" si="1"/>
        <v>12:15 PM</v>
      </c>
      <c r="H3" s="13" t="str">
        <f>GET_BREAK_DURATION(Q3, R3)</f>
        <v>1:00</v>
      </c>
      <c r="I3" s="14" t="str">
        <f>VALID_BREAK_CHECK(Q3, R3, S3, T3)</f>
        <v>ERROR</v>
      </c>
      <c r="J3" s="3"/>
      <c r="K3" s="15" t="str">
        <f>GET_PAY_DECIMAL(Q3, R3)</f>
        <v>7.50</v>
      </c>
      <c r="L3" s="16" t="str">
        <f>GET_BREAK_DECIMAL(Q3, R3)</f>
        <v>0.50</v>
      </c>
      <c r="M3" s="17"/>
      <c r="N3" s="17"/>
      <c r="O3" s="17"/>
      <c r="P3" s="3"/>
      <c r="Q3" s="18">
        <v>46023.375</v>
      </c>
      <c r="R3" s="18">
        <v>46023.708333333336</v>
      </c>
      <c r="S3" s="18">
        <v>46023.479166666664</v>
      </c>
      <c r="T3" s="18">
        <v>46023.510416666664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</sheetData>
  <mergeCells count="4">
    <mergeCell ref="A1:I1"/>
    <mergeCell ref="K1:O1"/>
    <mergeCell ref="Q1:T1"/>
    <mergeCell ref="B2:C2"/>
  </mergeCells>
  <drawing r:id="rId1"/>
  <tableParts count="2">
    <tablePart r:id="rId4"/>
    <tablePart r:id="rId5"/>
  </tableParts>
</worksheet>
</file>